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Projections" sheetId="1" state="visible" r:id="rId3"/>
    <sheet name="Growth Lev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<sst xmlns="http://schemas.openxmlformats.org/spreadsheetml/2006/main" count="113" uniqueCount="110">
  <si>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Polymarket Signal Engine</t>
  </si>
  <si>
    <t xml:space="preserve">Telegram Signal Channel — Revenue Projections</t>
  </si>
  <si>
    <t xml:space="preserve">ASSUMPTIONS</t>
  </si>
  <si>
    <t xml:space="preserve">Monthly Subscription Price</t>
  </si>
  <si>
    <t xml:space="preserve">Base tier price</t>
  </si>
  <si>
    <t xml:space="preserve">Premium Tier Price</t>
  </si>
  <si>
    <t xml:space="preserve">Base Tier Mix</t>
  </si>
  <si>
    <t xml:space="preserve">% of subs on base tier</t>
  </si>
  <si>
    <t xml:space="preserve">Premium Tier Mix</t>
  </si>
  <si>
    <t xml:space="preserve">Monthly Organic Growth Rate</t>
  </si>
  <si>
    <t xml:space="preserve">New subs from track record visibility</t>
  </si>
  <si>
    <t xml:space="preserve">Monthly Churn Rate</t>
  </si>
  <si>
    <t xml:space="preserve">Subscribers who cancel</t>
  </si>
  <si>
    <t xml:space="preserve">Free Trial Conversion Rate</t>
  </si>
  <si>
    <t xml:space="preserve">Free followers → paid</t>
  </si>
  <si>
    <t xml:space="preserve">Starting Free Followers (Month 1)</t>
  </si>
  <si>
    <t xml:space="preserve">Initial audience from public track record</t>
  </si>
  <si>
    <t xml:space="preserve">Monthly Free Follower Growth</t>
  </si>
  <si>
    <t xml:space="preserve">Organic growth of free audience</t>
  </si>
  <si>
    <t xml:space="preserve">Infrastructure Cost / Month</t>
  </si>
  <si>
    <t xml:space="preserve">GitHub Actions + Netlify + domain</t>
  </si>
  <si>
    <t xml:space="preserve">Telegram Bot Cost / Month</t>
  </si>
  <si>
    <t xml:space="preserve">Self-hosted, negligible</t>
  </si>
  <si>
    <t xml:space="preserve">Marketing Spend / Month</t>
  </si>
  <si>
    <t xml:space="preserve">Crypto Twitter ads, forum posts</t>
  </si>
  <si>
    <t xml:space="preserve">12-MONTH PROJECTION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</si>
  <si>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</si>
  <si>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</si>
  <si>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</si>
  <si>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</si>
  <si>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</si>
  <si>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</si>
  <si>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</si>
  <si>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</si>
  <si>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</si>
  <si>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</si>
  <si>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</si>
  <si>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</si>
  <si>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</si>
  <si>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Free Followers</t>
  </si>
  <si>
    <t xml:space="preserve">New Paid Conversions</t>
  </si>
  <si>
    <t xml:space="preserve">Organic Growth (Paid)</t>
  </si>
  <si>
    <t xml:space="preserve">Churned Subscribers</t>
  </si>
  <si>
    <t xml:space="preserve">Total Paid Subscribers</t>
  </si>
  <si>
    <t xml:space="preserve">Base Tier Subscribers</t>
  </si>
  <si>
    <t xml:space="preserve">Premium Tier Subscribers</t>
  </si>
  <si>
    <t xml:space="preserve">Blended ARPU</t>
  </si>
  <si>
    <t xml:space="preserve">Gross Revenue</t>
  </si>
  <si>
    <t xml:space="preserve">Infrastructure Cost</t>
  </si>
  <si>
    <t xml:space="preserve">Marketing Cost</t>
  </si>
  <si>
    <t xml:space="preserve">Total Costs</t>
  </si>
  <si>
    <t xml:space="preserve">Net Revenue</t>
  </si>
  <si>
    <t xml:space="preserve">Cumulative Net Revenue</t>
  </si>
  <si>
    <t xml:space="preserve">Profit Margin</t>
  </si>
  <si>
    <t xml:space="preserve">SCENARIO SUMMARY</t>
  </si>
  <si>
    <t xml:space="preserve">Conservative</t>
  </si>
  <si>
    <t xml:space="preserve">Base Case</t>
  </si>
  <si>
    <t xml:space="preserve">Optimistic</t>
  </si>
  <si>
    <t xml:space="preserve">Monthly Price (Base/Premium)</t>
  </si>
  <si>
    <t xml:space="preserve">$100 / $175</t>
  </si>
  <si>
    <t xml:space="preserve">$150 / $250</t>
  </si>
  <si>
    <t xml:space="preserve">$200 / $350</t>
  </si>
  <si>
    <t xml:space="preserve">Month 12 Paid Subscribers</t>
  </si>
  <si>
    <t xml:space="preserve">~150</t>
  </si>
  <si>
    <t xml:space="preserve">~500</t>
  </si>
  <si>
    <t xml:space="preserve">~1,200</t>
  </si>
  <si>
    <t xml:space="preserve">Month 12 Monthly Revenue</t>
  </si>
  <si>
    <t xml:space="preserve">$15-20k</t>
  </si>
  <si>
    <t xml:space="preserve">$50-75k</t>
  </si>
  <si>
    <t xml:space="preserve">$150-250k</t>
  </si>
  <si>
    <t xml:space="preserve">Year 1 Cumulative Revenue</t>
  </si>
  <si>
    <t xml:space="preserve">$80-120k</t>
  </si>
  <si>
    <t xml:space="preserve">$250-400k</t>
  </si>
  <si>
    <t xml:space="preserve">$800k-1.2M</t>
  </si>
  <si>
    <t xml:space="preserve">Break-even Month</t>
  </si>
  <si>
    <t xml:space="preserve">Key Risk</t>
  </si>
  <si>
    <t xml:space="preserve">Slow audience growth</t>
  </si>
  <si>
    <t xml:space="preserve">Churn if signals dip</t>
  </si>
  <si>
    <t xml:space="preserve">Market saturation</t>
  </si>
  <si>
    <t xml:space="preserve">GROWTH LEVERS &amp; REVENUE MULTIPLIERS</t>
  </si>
  <si>
    <t xml:space="preserve">Lever</t>
  </si>
  <si>
    <t xml:space="preserve">Description</t>
  </si>
  <si>
    <t xml:space="preserve">Revenue Impact</t>
  </si>
  <si>
    <t xml:space="preserve">Public Track Record</t>
  </si>
  <si>
    <t xml:space="preserve">Post signals + outcomes on Twitter/X daily. Verifiable on-chain data is the hook.</t>
  </si>
  <si>
    <t xml:space="preserve">Drives free followers → conversions</t>
  </si>
  <si>
    <t xml:space="preserve">Free Tier / Delayed Signals</t>
  </si>
  <si>
    <t xml:space="preserve">Show signals 1-2 hours delayed for free. Proves value, creates FOMO for real-time.</t>
  </si>
  <si>
    <t xml:space="preserve">+30-50% conversion rate</t>
  </si>
  <si>
    <t xml:space="preserve">Referral Programme</t>
  </si>
  <si>
    <t xml:space="preserve">Give 1 month free for each referred paying subscriber.</t>
  </si>
  <si>
    <t xml:space="preserve">+20-40% organic growth</t>
  </si>
  <si>
    <t xml:space="preserve">Crypto Twitter KOL Partnerships</t>
  </si>
  <si>
    <t xml:space="preserve">Revenue share with influencers who promote the channel.</t>
  </si>
  <si>
    <t xml:space="preserve">10-50 subs per KOL post</t>
  </si>
  <si>
    <t xml:space="preserve">Seasonal Events</t>
  </si>
  <si>
    <t xml:space="preserve">Elections, major sports events, crypto catalysts drive Polymarket volume.</t>
  </si>
  <si>
    <t xml:space="preserve">2-3x spike months</t>
  </si>
  <si>
    <t xml:space="preserve">API Access Tier</t>
  </si>
  <si>
    <t xml:space="preserve">Webhook/API for automated traders. $500-1000/mo per client.</t>
  </si>
  <si>
    <t xml:space="preserve">$5-20k/mo from 10-20 clients</t>
  </si>
  <si>
    <t xml:space="preserve">Institutional Licensing</t>
  </si>
  <si>
    <t xml:space="preserve">Bulk signal feed for funds/desks trading prediction markets.</t>
  </si>
  <si>
    <t xml:space="preserve">$50-100k/year per client</t>
  </si>
  <si>
    <t xml:space="preserve">Self-Trading</t>
  </si>
  <si>
    <t xml:space="preserve">Trade signals with own capital. 60% WR with Kelly sizing on $50k.</t>
  </si>
  <si>
    <t xml:space="preserve">$50-200k/year</t>
  </si>
  <si>
    <t xml:space="preserve">Automated Bot (Profit Share)</t>
  </si>
  <si>
    <t xml:space="preserve">Users connect wallets, bot trades for them. Take 20-30% of profits.</t>
  </si>
  <si>
    <t xml:space="preserve">$200k-1M+/year at scale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</si>
</sst>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;\(#,##0\);\-"/>
    <numFmt numFmtId="168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B6B1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1B2A4A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/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1B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14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3</v>
      </c>
      <c r="B5" s="5" t="n">
        <v>150</v>
      </c>
      <c r="D5" s="6" t="s">
        <v>4</v>
      </c>
    </row>
    <row r="6" customFormat="false" ht="15" hidden="false" customHeight="false" outlineLevel="0" collapsed="false">
      <c r="A6" s="4" t="s">
        <v>5</v>
      </c>
      <c r="C6" s="5" t="n">
        <v>250</v>
      </c>
    </row>
    <row r="7" customFormat="false" ht="15" hidden="false" customHeight="false" outlineLevel="0" collapsed="false">
      <c r="A7" s="4" t="s">
        <v>6</v>
      </c>
      <c r="B7" s="7" t="n">
        <v>0.7</v>
      </c>
      <c r="D7" s="6" t="s">
        <v>7</v>
      </c>
    </row>
    <row r="8" customFormat="false" ht="15" hidden="false" customHeight="false" outlineLevel="0" collapsed="false">
      <c r="A8" s="4" t="s">
        <v>8</v>
      </c>
      <c r="C8" s="7" t="n">
        <v>0.3</v>
      </c>
    </row>
    <row r="9" customFormat="false" ht="15" hidden="false" customHeight="false" outlineLevel="0" collapsed="false">
      <c r="A9" s="4" t="s">
        <v>9</v>
      </c>
      <c r="B9" s="7" t="n">
        <v>0.15</v>
      </c>
      <c r="D9" s="6" t="s">
        <v>10</v>
      </c>
    </row>
    <row r="10" customFormat="false" ht="15" hidden="false" customHeight="false" outlineLevel="0" collapsed="false">
      <c r="A10" s="4" t="s">
        <v>11</v>
      </c>
      <c r="B10" s="7" t="n">
        <v>0.05</v>
      </c>
      <c r="D10" s="6" t="s">
        <v>12</v>
      </c>
    </row>
    <row r="11" customFormat="false" ht="15" hidden="false" customHeight="false" outlineLevel="0" collapsed="false">
      <c r="A11" s="4" t="s">
        <v>13</v>
      </c>
      <c r="B11" s="7" t="n">
        <v>0.25</v>
      </c>
      <c r="D11" s="6" t="s">
        <v>14</v>
      </c>
    </row>
    <row r="12" customFormat="false" ht="15" hidden="false" customHeight="false" outlineLevel="0" collapsed="false">
      <c r="A12" s="4" t="s">
        <v>15</v>
      </c>
      <c r="B12" s="8" t="n">
        <v>200</v>
      </c>
      <c r="D12" s="6" t="s">
        <v>16</v>
      </c>
    </row>
    <row r="13" customFormat="false" ht="15" hidden="false" customHeight="false" outlineLevel="0" collapsed="false">
      <c r="A13" s="4" t="s">
        <v>17</v>
      </c>
      <c r="B13" s="7" t="n">
        <v>0.2</v>
      </c>
      <c r="D13" s="6" t="s">
        <v>18</v>
      </c>
    </row>
    <row r="14" customFormat="false" ht="15" hidden="false" customHeight="false" outlineLevel="0" collapsed="false">
      <c r="A14" s="4" t="s">
        <v>19</v>
      </c>
      <c r="B14" s="5" t="n">
        <v>50</v>
      </c>
      <c r="D14" s="6" t="s">
        <v>20</v>
      </c>
    </row>
    <row r="15" customFormat="false" ht="15" hidden="false" customHeight="false" outlineLevel="0" collapsed="false">
      <c r="A15" s="4" t="s">
        <v>21</v>
      </c>
      <c r="B15" s="5" t="n">
        <v>0</v>
      </c>
      <c r="D15" s="6" t="s">
        <v>22</v>
      </c>
    </row>
    <row r="16" customFormat="false" ht="15" hidden="false" customHeight="false" outlineLevel="0" collapsed="false">
      <c r="A16" s="4" t="s">
        <v>23</v>
      </c>
      <c r="B16" s="5" t="n">
        <v>100</v>
      </c>
      <c r="D16" s="6" t="s">
        <v>24</v>
      </c>
    </row>
    <row r="19" customFormat="false" ht="15" hidden="false" customHeight="false" outlineLevel="0" collapsed="false">
      <c r="A19" s="3" t="s">
        <v>25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9" t="s">
        <v>26</v>
      </c>
      <c r="B20" s="9" t="s">
        <v>27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32</v>
      </c>
      <c r="H20" s="9" t="s">
        <v>33</v>
      </c>
      <c r="I20" s="9" t="s">
        <v>34</v>
      </c>
      <c r="J20" s="9" t="s">
        <v>35</v>
      </c>
      <c r="K20" s="9" t="s">
        <v>36</v>
      </c>
      <c r="L20" s="9" t="s">
        <v>37</v>
      </c>
      <c r="M20" s="9" t="s">
        <v>38</v>
      </c>
    </row>
    <row r="21" customFormat="false" ht="15" hidden="false" customHeight="false" outlineLevel="0" collapsed="false">
      <c r="A21" s="4" t="s">
        <v>39</v>
      </c>
      <c r="B21" s="10" t="n">
        <f aca="false">$B$12</f>
        <v>200</v>
      </c>
      <c r="C21" s="10" t="n">
        <f aca="false">ROUND(B21*(1+$B$13),0)</f>
        <v>240</v>
      </c>
      <c r="D21" s="10" t="n">
        <f aca="false">ROUND(C21*(1+$B$13),0)</f>
        <v>288</v>
      </c>
      <c r="E21" s="10" t="n">
        <f aca="false">ROUND(D21*(1+$B$13),0)</f>
        <v>346</v>
      </c>
      <c r="F21" s="10" t="n">
        <f aca="false">ROUND(E21*(1+$B$13),0)</f>
        <v>415</v>
      </c>
      <c r="G21" s="10" t="n">
        <f aca="false">ROUND(F21*(1+$B$13),0)</f>
        <v>498</v>
      </c>
      <c r="H21" s="10" t="n">
        <f aca="false">ROUND(G21*(1+$B$13),0)</f>
        <v>598</v>
      </c>
      <c r="I21" s="10" t="n">
        <f aca="false">ROUND(H21*(1+$B$13),0)</f>
        <v>718</v>
      </c>
      <c r="J21" s="10" t="n">
        <f aca="false">ROUND(I21*(1+$B$13),0)</f>
        <v>862</v>
      </c>
      <c r="K21" s="10" t="n">
        <f aca="false">ROUND(J21*(1+$B$13),0)</f>
        <v>1034</v>
      </c>
      <c r="L21" s="10" t="n">
        <f aca="false">ROUND(K21*(1+$B$13),0)</f>
        <v>1241</v>
      </c>
      <c r="M21" s="10" t="n">
        <f aca="false">ROUND(L21*(1+$B$13),0)</f>
        <v>1489</v>
      </c>
    </row>
    <row r="22" customFormat="false" ht="15" hidden="false" customHeight="false" outlineLevel="0" collapsed="false">
      <c r="A22" s="4" t="s">
        <v>40</v>
      </c>
      <c r="B22" s="10" t="n">
        <f aca="false">ROUND(B21*$B$11,0)</f>
        <v>50</v>
      </c>
      <c r="C22" s="10" t="n">
        <f aca="false">ROUND(C21*$B$11,0)</f>
        <v>60</v>
      </c>
      <c r="D22" s="10" t="n">
        <f aca="false">ROUND(D21*$B$11,0)</f>
        <v>72</v>
      </c>
      <c r="E22" s="10" t="n">
        <f aca="false">ROUND(E21*$B$11,0)</f>
        <v>87</v>
      </c>
      <c r="F22" s="10" t="n">
        <f aca="false">ROUND(F21*$B$11,0)</f>
        <v>104</v>
      </c>
      <c r="G22" s="10" t="n">
        <f aca="false">ROUND(G21*$B$11,0)</f>
        <v>125</v>
      </c>
      <c r="H22" s="10" t="n">
        <f aca="false">ROUND(H21*$B$11,0)</f>
        <v>150</v>
      </c>
      <c r="I22" s="10" t="n">
        <f aca="false">ROUND(I21*$B$11,0)</f>
        <v>180</v>
      </c>
      <c r="J22" s="10" t="n">
        <f aca="false">ROUND(J21*$B$11,0)</f>
        <v>216</v>
      </c>
      <c r="K22" s="10" t="n">
        <f aca="false">ROUND(K21*$B$11,0)</f>
        <v>259</v>
      </c>
      <c r="L22" s="10" t="n">
        <f aca="false">ROUND(L21*$B$11,0)</f>
        <v>310</v>
      </c>
      <c r="M22" s="10" t="n">
        <f aca="false">ROUND(M21*$B$11,0)</f>
        <v>372</v>
      </c>
    </row>
    <row r="23" customFormat="false" ht="15" hidden="false" customHeight="false" outlineLevel="0" collapsed="false">
      <c r="A23" s="4" t="s">
        <v>41</v>
      </c>
      <c r="B23" s="10" t="n">
        <v>0</v>
      </c>
      <c r="C23" s="10" t="n">
        <f aca="false">ROUND(B25*$B$9,0)</f>
        <v>8</v>
      </c>
      <c r="D23" s="10" t="n">
        <f aca="false">ROUND(C25*$B$9,0)</f>
        <v>17</v>
      </c>
      <c r="E23" s="10" t="n">
        <f aca="false">ROUND(D25*$B$9,0)</f>
        <v>30</v>
      </c>
      <c r="F23" s="10" t="n">
        <f aca="false">ROUND(E25*$B$9,0)</f>
        <v>46</v>
      </c>
      <c r="G23" s="10" t="n">
        <f aca="false">ROUND(F25*$B$9,0)</f>
        <v>66</v>
      </c>
      <c r="H23" s="10" t="n">
        <f aca="false">ROUND(G25*$B$9,0)</f>
        <v>91</v>
      </c>
      <c r="I23" s="10" t="n">
        <f aca="false">ROUND(H25*$B$9,0)</f>
        <v>123</v>
      </c>
      <c r="J23" s="10" t="n">
        <f aca="false">ROUND(I25*$B$9,0)</f>
        <v>162</v>
      </c>
      <c r="K23" s="10" t="n">
        <f aca="false">ROUND(J25*$B$9,0)</f>
        <v>211</v>
      </c>
      <c r="L23" s="10" t="n">
        <f aca="false">ROUND(K25*$B$9,0)</f>
        <v>271</v>
      </c>
      <c r="M23" s="10" t="n">
        <f aca="false">ROUND(L25*$B$9,0)</f>
        <v>345</v>
      </c>
    </row>
    <row r="24" customFormat="false" ht="15" hidden="false" customHeight="false" outlineLevel="0" collapsed="false">
      <c r="A24" s="4" t="s">
        <v>42</v>
      </c>
      <c r="B24" s="10" t="n">
        <v>0</v>
      </c>
      <c r="C24" s="10" t="n">
        <f aca="false">ROUND(B25*$B$10,0)</f>
        <v>3</v>
      </c>
      <c r="D24" s="10" t="n">
        <f aca="false">ROUND(C25*$B$10,0)</f>
        <v>6</v>
      </c>
      <c r="E24" s="10" t="n">
        <f aca="false">ROUND(D25*$B$10,0)</f>
        <v>10</v>
      </c>
      <c r="F24" s="10" t="n">
        <f aca="false">ROUND(E25*$B$10,0)</f>
        <v>15</v>
      </c>
      <c r="G24" s="10" t="n">
        <f aca="false">ROUND(F25*$B$10,0)</f>
        <v>22</v>
      </c>
      <c r="H24" s="10" t="n">
        <f aca="false">ROUND(G25*$B$10,0)</f>
        <v>30</v>
      </c>
      <c r="I24" s="10" t="n">
        <f aca="false">ROUND(H25*$B$10,0)</f>
        <v>41</v>
      </c>
      <c r="J24" s="10" t="n">
        <f aca="false">ROUND(I25*$B$10,0)</f>
        <v>54</v>
      </c>
      <c r="K24" s="10" t="n">
        <f aca="false">ROUND(J25*$B$10,0)</f>
        <v>70</v>
      </c>
      <c r="L24" s="10" t="n">
        <f aca="false">ROUND(K25*$B$10,0)</f>
        <v>90</v>
      </c>
      <c r="M24" s="10" t="n">
        <f aca="false">ROUND(L25*$B$10,0)</f>
        <v>115</v>
      </c>
    </row>
    <row r="25" customFormat="false" ht="15" hidden="false" customHeight="false" outlineLevel="0" collapsed="false">
      <c r="A25" s="11" t="s">
        <v>43</v>
      </c>
      <c r="B25" s="12" t="n">
        <f aca="false">B22</f>
        <v>50</v>
      </c>
      <c r="C25" s="12" t="n">
        <f aca="false">B25+C22+C23-C24</f>
        <v>115</v>
      </c>
      <c r="D25" s="12" t="n">
        <f aca="false">C25+D22+D23-D24</f>
        <v>198</v>
      </c>
      <c r="E25" s="12" t="n">
        <f aca="false">D25+E22+E23-E24</f>
        <v>305</v>
      </c>
      <c r="F25" s="12" t="n">
        <f aca="false">E25+F22+F23-F24</f>
        <v>440</v>
      </c>
      <c r="G25" s="12" t="n">
        <f aca="false">F25+G22+G23-G24</f>
        <v>609</v>
      </c>
      <c r="H25" s="12" t="n">
        <f aca="false">G25+H22+H23-H24</f>
        <v>820</v>
      </c>
      <c r="I25" s="12" t="n">
        <f aca="false">H25+I22+I23-I24</f>
        <v>1082</v>
      </c>
      <c r="J25" s="12" t="n">
        <f aca="false">I25+J22+J23-J24</f>
        <v>1406</v>
      </c>
      <c r="K25" s="12" t="n">
        <f aca="false">J25+K22+K23-K24</f>
        <v>1806</v>
      </c>
      <c r="L25" s="12" t="n">
        <f aca="false">K25+L22+L23-L24</f>
        <v>2297</v>
      </c>
      <c r="M25" s="12" t="n">
        <f aca="false">L25+M22+M23-M24</f>
        <v>2899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 t="s">
        <v>44</v>
      </c>
      <c r="B27" s="10" t="n">
        <f aca="false">ROUND(B25*$B$7,0)</f>
        <v>35</v>
      </c>
      <c r="C27" s="10" t="n">
        <f aca="false">ROUND(C25*$B$7,0)</f>
        <v>81</v>
      </c>
      <c r="D27" s="10" t="n">
        <f aca="false">ROUND(D25*$B$7,0)</f>
        <v>139</v>
      </c>
      <c r="E27" s="10" t="n">
        <f aca="false">ROUND(E25*$B$7,0)</f>
        <v>214</v>
      </c>
      <c r="F27" s="10" t="n">
        <f aca="false">ROUND(F25*$B$7,0)</f>
        <v>308</v>
      </c>
      <c r="G27" s="10" t="n">
        <f aca="false">ROUND(G25*$B$7,0)</f>
        <v>426</v>
      </c>
      <c r="H27" s="10" t="n">
        <f aca="false">ROUND(H25*$B$7,0)</f>
        <v>574</v>
      </c>
      <c r="I27" s="10" t="n">
        <f aca="false">ROUND(I25*$B$7,0)</f>
        <v>757</v>
      </c>
      <c r="J27" s="10" t="n">
        <f aca="false">ROUND(J25*$B$7,0)</f>
        <v>984</v>
      </c>
      <c r="K27" s="10" t="n">
        <f aca="false">ROUND(K25*$B$7,0)</f>
        <v>1264</v>
      </c>
      <c r="L27" s="10" t="n">
        <f aca="false">ROUND(L25*$B$7,0)</f>
        <v>1608</v>
      </c>
      <c r="M27" s="10" t="n">
        <f aca="false">ROUND(M25*$B$7,0)</f>
        <v>2029</v>
      </c>
    </row>
    <row r="28" customFormat="false" ht="15" hidden="false" customHeight="false" outlineLevel="0" collapsed="false">
      <c r="A28" s="4" t="s">
        <v>45</v>
      </c>
      <c r="B28" s="10" t="n">
        <f aca="false">B25-B27</f>
        <v>15</v>
      </c>
      <c r="C28" s="10" t="n">
        <f aca="false">C25-C27</f>
        <v>34</v>
      </c>
      <c r="D28" s="10" t="n">
        <f aca="false">D25-D27</f>
        <v>59</v>
      </c>
      <c r="E28" s="10" t="n">
        <f aca="false">E25-E27</f>
        <v>91</v>
      </c>
      <c r="F28" s="10" t="n">
        <f aca="false">F25-F27</f>
        <v>132</v>
      </c>
      <c r="G28" s="10" t="n">
        <f aca="false">G25-G27</f>
        <v>183</v>
      </c>
      <c r="H28" s="10" t="n">
        <f aca="false">H25-H27</f>
        <v>246</v>
      </c>
      <c r="I28" s="10" t="n">
        <f aca="false">I25-I27</f>
        <v>325</v>
      </c>
      <c r="J28" s="10" t="n">
        <f aca="false">J25-J27</f>
        <v>422</v>
      </c>
      <c r="K28" s="10" t="n">
        <f aca="false">K25-K27</f>
        <v>542</v>
      </c>
      <c r="L28" s="10" t="n">
        <f aca="false">L25-L27</f>
        <v>689</v>
      </c>
      <c r="M28" s="10" t="n">
        <f aca="false">M25-M27</f>
        <v>870</v>
      </c>
    </row>
    <row r="29" customFormat="false" ht="15" hidden="false" customHeight="false" outlineLevel="0" collapsed="false">
      <c r="A29" s="4" t="s">
        <v>46</v>
      </c>
      <c r="B29" s="13" t="n">
        <f aca="false">IF(B25&gt;0,(B27*$B$5+B28*$C$6)/B25,0)</f>
        <v>180</v>
      </c>
      <c r="C29" s="13" t="n">
        <f aca="false">IF(C25&gt;0,(C27*$B$5+C28*$C$6)/C25,0)</f>
        <v>179.565217391304</v>
      </c>
      <c r="D29" s="13" t="n">
        <f aca="false">IF(D25&gt;0,(D27*$B$5+D28*$C$6)/D25,0)</f>
        <v>179.79797979798</v>
      </c>
      <c r="E29" s="13" t="n">
        <f aca="false">IF(E25&gt;0,(E27*$B$5+E28*$C$6)/E25,0)</f>
        <v>179.836065573771</v>
      </c>
      <c r="F29" s="13" t="n">
        <f aca="false">IF(F25&gt;0,(F27*$B$5+F28*$C$6)/F25,0)</f>
        <v>180</v>
      </c>
      <c r="G29" s="13" t="n">
        <f aca="false">IF(G25&gt;0,(G27*$B$5+G28*$C$6)/G25,0)</f>
        <v>180.049261083744</v>
      </c>
      <c r="H29" s="13" t="n">
        <f aca="false">IF(H25&gt;0,(H27*$B$5+H28*$C$6)/H25,0)</f>
        <v>180</v>
      </c>
      <c r="I29" s="13" t="n">
        <f aca="false">IF(I25&gt;0,(I27*$B$5+I28*$C$6)/I25,0)</f>
        <v>180.03696857671</v>
      </c>
      <c r="J29" s="13" t="n">
        <f aca="false">IF(J25&gt;0,(J27*$B$5+J28*$C$6)/J25,0)</f>
        <v>180.014224751067</v>
      </c>
      <c r="K29" s="13" t="n">
        <f aca="false">IF(K25&gt;0,(K27*$B$5+K28*$C$6)/K25,0)</f>
        <v>180.011074197121</v>
      </c>
      <c r="L29" s="13" t="n">
        <f aca="false">IF(L25&gt;0,(L27*$B$5+L28*$C$6)/L25,0)</f>
        <v>179.995646495429</v>
      </c>
      <c r="M29" s="13" t="n">
        <f aca="false">IF(M25&gt;0,(M27*$B$5+M28*$C$6)/M25,0)</f>
        <v>180.010348395999</v>
      </c>
    </row>
    <row r="30" customFormat="false" ht="15" hidden="false" customHeight="false" outlineLevel="0" collapsed="false">
      <c r="A30" s="4"/>
    </row>
    <row r="31" customFormat="false" ht="15" hidden="false" customHeight="false" outlineLevel="0" collapsed="false">
      <c r="A31" s="11" t="s">
        <v>47</v>
      </c>
      <c r="B31" s="14" t="n">
        <f aca="false">B27*$B$5+B28*$C$6</f>
        <v>9000</v>
      </c>
      <c r="C31" s="14" t="n">
        <f aca="false">C27*$B$5+C28*$C$6</f>
        <v>20650</v>
      </c>
      <c r="D31" s="14" t="n">
        <f aca="false">D27*$B$5+D28*$C$6</f>
        <v>35600</v>
      </c>
      <c r="E31" s="14" t="n">
        <f aca="false">E27*$B$5+E28*$C$6</f>
        <v>54850</v>
      </c>
      <c r="F31" s="14" t="n">
        <f aca="false">F27*$B$5+F28*$C$6</f>
        <v>79200</v>
      </c>
      <c r="G31" s="14" t="n">
        <f aca="false">G27*$B$5+G28*$C$6</f>
        <v>109650</v>
      </c>
      <c r="H31" s="14" t="n">
        <f aca="false">H27*$B$5+H28*$C$6</f>
        <v>147600</v>
      </c>
      <c r="I31" s="14" t="n">
        <f aca="false">I27*$B$5+I28*$C$6</f>
        <v>194800</v>
      </c>
      <c r="J31" s="14" t="n">
        <f aca="false">J27*$B$5+J28*$C$6</f>
        <v>253100</v>
      </c>
      <c r="K31" s="14" t="n">
        <f aca="false">K27*$B$5+K28*$C$6</f>
        <v>325100</v>
      </c>
      <c r="L31" s="14" t="n">
        <f aca="false">L27*$B$5+L28*$C$6</f>
        <v>413450</v>
      </c>
      <c r="M31" s="14" t="n">
        <f aca="false">M27*$B$5+M28*$C$6</f>
        <v>521850</v>
      </c>
    </row>
    <row r="32" customFormat="false" ht="15" hidden="false" customHeight="false" outlineLevel="0" collapsed="false">
      <c r="A32" s="4" t="s">
        <v>48</v>
      </c>
      <c r="B32" s="15" t="n">
        <f aca="false">$B$14</f>
        <v>50</v>
      </c>
      <c r="C32" s="15" t="n">
        <f aca="false">$B$14</f>
        <v>50</v>
      </c>
      <c r="D32" s="15" t="n">
        <f aca="false">$B$14</f>
        <v>50</v>
      </c>
      <c r="E32" s="15" t="n">
        <f aca="false">$B$14</f>
        <v>50</v>
      </c>
      <c r="F32" s="15" t="n">
        <f aca="false">$B$14</f>
        <v>50</v>
      </c>
      <c r="G32" s="15" t="n">
        <f aca="false">$B$14</f>
        <v>50</v>
      </c>
      <c r="H32" s="15" t="n">
        <f aca="false">$B$14</f>
        <v>50</v>
      </c>
      <c r="I32" s="15" t="n">
        <f aca="false">$B$14</f>
        <v>50</v>
      </c>
      <c r="J32" s="15" t="n">
        <f aca="false">$B$14</f>
        <v>50</v>
      </c>
      <c r="K32" s="15" t="n">
        <f aca="false">$B$14</f>
        <v>50</v>
      </c>
      <c r="L32" s="15" t="n">
        <f aca="false">$B$14</f>
        <v>50</v>
      </c>
      <c r="M32" s="15" t="n">
        <f aca="false">$B$14</f>
        <v>50</v>
      </c>
    </row>
    <row r="33" customFormat="false" ht="15" hidden="false" customHeight="false" outlineLevel="0" collapsed="false">
      <c r="A33" s="4" t="s">
        <v>49</v>
      </c>
      <c r="B33" s="15" t="n">
        <f aca="false">$B$16</f>
        <v>100</v>
      </c>
      <c r="C33" s="15" t="n">
        <f aca="false">$B$16</f>
        <v>100</v>
      </c>
      <c r="D33" s="15" t="n">
        <f aca="false">$B$16</f>
        <v>100</v>
      </c>
      <c r="E33" s="15" t="n">
        <f aca="false">$B$16</f>
        <v>100</v>
      </c>
      <c r="F33" s="15" t="n">
        <f aca="false">$B$16</f>
        <v>100</v>
      </c>
      <c r="G33" s="15" t="n">
        <f aca="false">$B$16</f>
        <v>100</v>
      </c>
      <c r="H33" s="15" t="n">
        <f aca="false">$B$16</f>
        <v>100</v>
      </c>
      <c r="I33" s="15" t="n">
        <f aca="false">$B$16</f>
        <v>100</v>
      </c>
      <c r="J33" s="15" t="n">
        <f aca="false">$B$16</f>
        <v>100</v>
      </c>
      <c r="K33" s="15" t="n">
        <f aca="false">$B$16</f>
        <v>100</v>
      </c>
      <c r="L33" s="15" t="n">
        <f aca="false">$B$16</f>
        <v>100</v>
      </c>
      <c r="M33" s="15" t="n">
        <f aca="false">$B$16</f>
        <v>100</v>
      </c>
    </row>
    <row r="34" customFormat="false" ht="15" hidden="false" customHeight="false" outlineLevel="0" collapsed="false">
      <c r="A34" s="4" t="s">
        <v>50</v>
      </c>
      <c r="B34" s="15" t="n">
        <f aca="false">B32+B33</f>
        <v>150</v>
      </c>
      <c r="C34" s="15" t="n">
        <f aca="false">C32+C33</f>
        <v>150</v>
      </c>
      <c r="D34" s="15" t="n">
        <f aca="false">D32+D33</f>
        <v>150</v>
      </c>
      <c r="E34" s="15" t="n">
        <f aca="false">E32+E33</f>
        <v>150</v>
      </c>
      <c r="F34" s="15" t="n">
        <f aca="false">F32+F33</f>
        <v>150</v>
      </c>
      <c r="G34" s="15" t="n">
        <f aca="false">G32+G33</f>
        <v>150</v>
      </c>
      <c r="H34" s="15" t="n">
        <f aca="false">H32+H33</f>
        <v>150</v>
      </c>
      <c r="I34" s="15" t="n">
        <f aca="false">I32+I33</f>
        <v>150</v>
      </c>
      <c r="J34" s="15" t="n">
        <f aca="false">J32+J33</f>
        <v>150</v>
      </c>
      <c r="K34" s="15" t="n">
        <f aca="false">K32+K33</f>
        <v>150</v>
      </c>
      <c r="L34" s="15" t="n">
        <f aca="false">L32+L33</f>
        <v>150</v>
      </c>
      <c r="M34" s="15" t="n">
        <f aca="false">M32+M33</f>
        <v>150</v>
      </c>
    </row>
    <row r="35" customFormat="false" ht="15" hidden="false" customHeight="false" outlineLevel="0" collapsed="false">
      <c r="A35" s="4"/>
    </row>
    <row r="36" customFormat="false" ht="15" hidden="false" customHeight="false" outlineLevel="0" collapsed="false">
      <c r="A36" s="11" t="s">
        <v>51</v>
      </c>
      <c r="B36" s="14" t="n">
        <f aca="false">B31-B34</f>
        <v>8850</v>
      </c>
      <c r="C36" s="14" t="n">
        <f aca="false">C31-C34</f>
        <v>20500</v>
      </c>
      <c r="D36" s="14" t="n">
        <f aca="false">D31-D34</f>
        <v>35450</v>
      </c>
      <c r="E36" s="14" t="n">
        <f aca="false">E31-E34</f>
        <v>54700</v>
      </c>
      <c r="F36" s="14" t="n">
        <f aca="false">F31-F34</f>
        <v>79050</v>
      </c>
      <c r="G36" s="14" t="n">
        <f aca="false">G31-G34</f>
        <v>109500</v>
      </c>
      <c r="H36" s="14" t="n">
        <f aca="false">H31-H34</f>
        <v>147450</v>
      </c>
      <c r="I36" s="14" t="n">
        <f aca="false">I31-I34</f>
        <v>194650</v>
      </c>
      <c r="J36" s="14" t="n">
        <f aca="false">J31-J34</f>
        <v>252950</v>
      </c>
      <c r="K36" s="14" t="n">
        <f aca="false">K31-K34</f>
        <v>324950</v>
      </c>
      <c r="L36" s="14" t="n">
        <f aca="false">L31-L34</f>
        <v>413300</v>
      </c>
      <c r="M36" s="14" t="n">
        <f aca="false">M31-M34</f>
        <v>521700</v>
      </c>
    </row>
    <row r="37" customFormat="false" ht="15" hidden="false" customHeight="false" outlineLevel="0" collapsed="false">
      <c r="A37" s="11" t="s">
        <v>52</v>
      </c>
      <c r="B37" s="14" t="n">
        <f aca="false">B36</f>
        <v>8850</v>
      </c>
      <c r="C37" s="14" t="n">
        <f aca="false">B37+C36</f>
        <v>29350</v>
      </c>
      <c r="D37" s="14" t="n">
        <f aca="false">C37+D36</f>
        <v>64800</v>
      </c>
      <c r="E37" s="14" t="n">
        <f aca="false">D37+E36</f>
        <v>119500</v>
      </c>
      <c r="F37" s="14" t="n">
        <f aca="false">E37+F36</f>
        <v>198550</v>
      </c>
      <c r="G37" s="14" t="n">
        <f aca="false">F37+G36</f>
        <v>308050</v>
      </c>
      <c r="H37" s="14" t="n">
        <f aca="false">G37+H36</f>
        <v>455500</v>
      </c>
      <c r="I37" s="14" t="n">
        <f aca="false">H37+I36</f>
        <v>650150</v>
      </c>
      <c r="J37" s="14" t="n">
        <f aca="false">I37+J36</f>
        <v>903100</v>
      </c>
      <c r="K37" s="14" t="n">
        <f aca="false">J37+K36</f>
        <v>1228050</v>
      </c>
      <c r="L37" s="14" t="n">
        <f aca="false">K37+L36</f>
        <v>1641350</v>
      </c>
      <c r="M37" s="14" t="n">
        <f aca="false">L37+M36</f>
        <v>2163050</v>
      </c>
    </row>
    <row r="38" customFormat="false" ht="15" hidden="false" customHeight="false" outlineLevel="0" collapsed="false">
      <c r="A38" s="4" t="s">
        <v>53</v>
      </c>
      <c r="B38" s="16" t="n">
        <f aca="false">IF(B31&gt;0,B36/B31,0)</f>
        <v>0.983333333333333</v>
      </c>
      <c r="C38" s="16" t="n">
        <f aca="false">IF(C31&gt;0,C36/C31,0)</f>
        <v>0.99273607748184</v>
      </c>
      <c r="D38" s="16" t="n">
        <f aca="false">IF(D31&gt;0,D36/D31,0)</f>
        <v>0.995786516853933</v>
      </c>
      <c r="E38" s="16" t="n">
        <f aca="false">IF(E31&gt;0,E36/E31,0)</f>
        <v>0.997265268915223</v>
      </c>
      <c r="F38" s="16" t="n">
        <f aca="false">IF(F31&gt;0,F36/F31,0)</f>
        <v>0.998106060606061</v>
      </c>
      <c r="G38" s="16" t="n">
        <f aca="false">IF(G31&gt;0,G36/G31,0)</f>
        <v>0.998632010943912</v>
      </c>
      <c r="H38" s="16" t="n">
        <f aca="false">IF(H31&gt;0,H36/H31,0)</f>
        <v>0.998983739837398</v>
      </c>
      <c r="I38" s="16" t="n">
        <f aca="false">IF(I31&gt;0,I36/I31,0)</f>
        <v>0.999229979466119</v>
      </c>
      <c r="J38" s="16" t="n">
        <f aca="false">IF(J31&gt;0,J36/J31,0)</f>
        <v>0.999407348873963</v>
      </c>
      <c r="K38" s="16" t="n">
        <f aca="false">IF(K31&gt;0,K36/K31,0)</f>
        <v>0.999538603506613</v>
      </c>
      <c r="L38" s="16" t="n">
        <f aca="false">IF(L31&gt;0,L36/L31,0)</f>
        <v>0.999637199177652</v>
      </c>
      <c r="M38" s="16" t="n">
        <f aca="false">IF(M31&gt;0,M36/M31,0)</f>
        <v>0.99971256108077</v>
      </c>
    </row>
    <row r="41" customFormat="false" ht="15" hidden="false" customHeight="false" outlineLevel="0" collapsed="false">
      <c r="A41" s="3" t="s">
        <v>54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5" hidden="false" customHeight="false" outlineLevel="0" collapsed="false">
      <c r="A42" s="9"/>
      <c r="B42" s="9" t="s">
        <v>55</v>
      </c>
      <c r="C42" s="9" t="s">
        <v>56</v>
      </c>
      <c r="D42" s="9" t="s">
        <v>57</v>
      </c>
    </row>
    <row r="43" customFormat="false" ht="15" hidden="false" customHeight="false" outlineLevel="0" collapsed="false">
      <c r="A43" s="4" t="s">
        <v>58</v>
      </c>
      <c r="B43" s="17" t="s">
        <v>59</v>
      </c>
      <c r="C43" s="17" t="s">
        <v>60</v>
      </c>
      <c r="D43" s="17" t="s">
        <v>61</v>
      </c>
    </row>
    <row r="44" customFormat="false" ht="15" hidden="false" customHeight="false" outlineLevel="0" collapsed="false">
      <c r="A44" s="4" t="s">
        <v>62</v>
      </c>
      <c r="B44" s="17" t="s">
        <v>63</v>
      </c>
      <c r="C44" s="17" t="s">
        <v>64</v>
      </c>
      <c r="D44" s="17" t="s">
        <v>65</v>
      </c>
    </row>
    <row r="45" customFormat="false" ht="15" hidden="false" customHeight="false" outlineLevel="0" collapsed="false">
      <c r="A45" s="4" t="s">
        <v>66</v>
      </c>
      <c r="B45" s="17" t="s">
        <v>67</v>
      </c>
      <c r="C45" s="17" t="s">
        <v>68</v>
      </c>
      <c r="D45" s="17" t="s">
        <v>69</v>
      </c>
    </row>
    <row r="46" customFormat="false" ht="15" hidden="false" customHeight="false" outlineLevel="0" collapsed="false">
      <c r="A46" s="4" t="s">
        <v>70</v>
      </c>
      <c r="B46" s="17" t="s">
        <v>71</v>
      </c>
      <c r="C46" s="17" t="s">
        <v>72</v>
      </c>
      <c r="D46" s="17" t="s">
        <v>73</v>
      </c>
    </row>
    <row r="47" customFormat="false" ht="15" hidden="false" customHeight="false" outlineLevel="0" collapsed="false">
      <c r="A47" s="4" t="s">
        <v>74</v>
      </c>
      <c r="B47" s="17" t="s">
        <v>27</v>
      </c>
      <c r="C47" s="17" t="s">
        <v>27</v>
      </c>
      <c r="D47" s="17" t="s">
        <v>27</v>
      </c>
    </row>
    <row r="48" customFormat="false" ht="15" hidden="false" customHeight="false" outlineLevel="0" collapsed="false">
      <c r="A48" s="4" t="s">
        <v>75</v>
      </c>
      <c r="B48" s="17" t="s">
        <v>76</v>
      </c>
      <c r="C48" s="17" t="s">
        <v>77</v>
      </c>
      <c r="D48" s="17" t="s">
        <v>78</v>
      </c>
    </row>
  </sheetData>
  <mergeCells count="3">
    <mergeCell ref="A4:M4"/>
    <mergeCell ref="A19:M19"/>
    <mergeCell ref="A41:M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" t="s">
        <v>79</v>
      </c>
      <c r="B1" s="3"/>
      <c r="C1" s="3"/>
    </row>
    <row r="2" customFormat="false" ht="15" hidden="false" customHeight="false" outlineLevel="0" collapsed="false">
      <c r="A2" s="18" t="s">
        <v>80</v>
      </c>
      <c r="B2" s="18" t="s">
        <v>81</v>
      </c>
      <c r="C2" s="18" t="s">
        <v>82</v>
      </c>
    </row>
    <row r="3" customFormat="false" ht="15" hidden="false" customHeight="false" outlineLevel="0" collapsed="false">
      <c r="A3" s="19" t="s">
        <v>83</v>
      </c>
      <c r="B3" s="4" t="s">
        <v>84</v>
      </c>
      <c r="C3" s="20" t="s">
        <v>85</v>
      </c>
    </row>
    <row r="4" customFormat="false" ht="15" hidden="false" customHeight="false" outlineLevel="0" collapsed="false">
      <c r="A4" s="19" t="s">
        <v>86</v>
      </c>
      <c r="B4" s="4" t="s">
        <v>87</v>
      </c>
      <c r="C4" s="20" t="s">
        <v>88</v>
      </c>
    </row>
    <row r="5" customFormat="false" ht="15" hidden="false" customHeight="false" outlineLevel="0" collapsed="false">
      <c r="A5" s="19" t="s">
        <v>89</v>
      </c>
      <c r="B5" s="4" t="s">
        <v>90</v>
      </c>
      <c r="C5" s="20" t="s">
        <v>91</v>
      </c>
    </row>
    <row r="6" customFormat="false" ht="15" hidden="false" customHeight="false" outlineLevel="0" collapsed="false">
      <c r="A6" s="19" t="s">
        <v>92</v>
      </c>
      <c r="B6" s="4" t="s">
        <v>93</v>
      </c>
      <c r="C6" s="20" t="s">
        <v>94</v>
      </c>
    </row>
    <row r="7" customFormat="false" ht="15" hidden="false" customHeight="false" outlineLevel="0" collapsed="false">
      <c r="A7" s="19" t="s">
        <v>95</v>
      </c>
      <c r="B7" s="4" t="s">
        <v>96</v>
      </c>
      <c r="C7" s="20" t="s">
        <v>97</v>
      </c>
    </row>
    <row r="8" customFormat="false" ht="15" hidden="false" customHeight="false" outlineLevel="0" collapsed="false">
      <c r="A8" s="19" t="s">
        <v>98</v>
      </c>
      <c r="B8" s="4" t="s">
        <v>99</v>
      </c>
      <c r="C8" s="20" t="s">
        <v>100</v>
      </c>
    </row>
    <row r="9" customFormat="false" ht="15" hidden="false" customHeight="false" outlineLevel="0" collapsed="false">
      <c r="A9" s="19" t="s">
        <v>101</v>
      </c>
      <c r="B9" s="4" t="s">
        <v>102</v>
      </c>
      <c r="C9" s="20" t="s">
        <v>103</v>
      </c>
    </row>
    <row r="10" customFormat="false" ht="15" hidden="false" customHeight="false" outlineLevel="0" collapsed="false">
      <c r="A10" s="19" t="s">
        <v>104</v>
      </c>
      <c r="B10" s="4" t="s">
        <v>105</v>
      </c>
      <c r="C10" s="20" t="s">
        <v>106</v>
      </c>
    </row>
    <row r="11" customFormat="false" ht="15" hidden="false" customHeight="false" outlineLevel="0" collapsed="false">
      <c r="A11" s="19" t="s">
        <v>107</v>
      </c>
      <c r="B11" s="4" t="s">
        <v>108</v>
      </c>
      <c r="C11" s="20" t="s">
        <v>109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2026-04-02T15:37:01Z</dcterms:created>
  <dc:creator>openpyxl</dc:creator>
  <dc:description/>
  <dc:language>en-US</dc:language>
  <cp:lastModifiedBy/>
  <dcterms:modified xsi:type="dcterms:W3CDTF">2026-04-02T15:37:01Z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